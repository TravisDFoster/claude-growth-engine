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Project Plan" sheetId="2" r:id="rId6"/>
    <sheet state="visible" name="Registration Links" sheetId="3" r:id="rId7"/>
  </sheets>
  <definedNames/>
  <calcPr/>
</workbook>
</file>

<file path=xl/sharedStrings.xml><?xml version="1.0" encoding="utf-8"?>
<sst xmlns="http://schemas.openxmlformats.org/spreadsheetml/2006/main" count="229" uniqueCount="115">
  <si>
    <t>Next Steps Matrix</t>
  </si>
  <si>
    <t>Client</t>
  </si>
  <si>
    <t>Last Updated -</t>
  </si>
  <si>
    <t>Complete</t>
  </si>
  <si>
    <t>Contact</t>
  </si>
  <si>
    <t>Targeted Start Date</t>
  </si>
  <si>
    <t>In-Progress</t>
  </si>
  <si>
    <t>Deleted</t>
  </si>
  <si>
    <t>Column 1</t>
  </si>
  <si>
    <t>Column2</t>
  </si>
  <si>
    <t>Where to Find</t>
  </si>
  <si>
    <t xml:space="preserve"> Assigned To</t>
  </si>
  <si>
    <t xml:space="preserve">Notes </t>
  </si>
  <si>
    <t>Completion Date</t>
  </si>
  <si>
    <t>Status</t>
  </si>
  <si>
    <t>IC Team</t>
  </si>
  <si>
    <t>Meets IC Team Goals</t>
  </si>
  <si>
    <t>Recordings/Proposals</t>
  </si>
  <si>
    <t>Recording/Proposals</t>
  </si>
  <si>
    <t>Questions/Answers</t>
  </si>
  <si>
    <t>Features/Roadmap/Integrations</t>
  </si>
  <si>
    <t>IT/Security</t>
  </si>
  <si>
    <t>SOC 2 T2</t>
  </si>
  <si>
    <t>Vendor Risk</t>
  </si>
  <si>
    <t>Client/Cerkl</t>
  </si>
  <si>
    <t>IT/Security focused Q/A meeting</t>
  </si>
  <si>
    <t>NDA's</t>
  </si>
  <si>
    <t>Procurment</t>
  </si>
  <si>
    <t>Pricing agrred upon</t>
  </si>
  <si>
    <t>Proposal</t>
  </si>
  <si>
    <t>MSA - Cerkl's or Clients</t>
  </si>
  <si>
    <t>Timeline</t>
  </si>
  <si>
    <t>Approvals</t>
  </si>
  <si>
    <t>IT/Finance/Vendor Management</t>
  </si>
  <si>
    <t>Signatures</t>
  </si>
  <si>
    <t>Docusign</t>
  </si>
  <si>
    <t>Webinar Date:</t>
  </si>
  <si>
    <t>Webinar Brief:</t>
  </si>
  <si>
    <t>Matt Frost Webinar Brief</t>
  </si>
  <si>
    <t>Collaboration Partner:</t>
  </si>
  <si>
    <t>Matt Frost</t>
  </si>
  <si>
    <t>Category</t>
  </si>
  <si>
    <t>Type</t>
  </si>
  <si>
    <t>Task</t>
  </si>
  <si>
    <t>Priority</t>
  </si>
  <si>
    <t>Owner</t>
  </si>
  <si>
    <t>Due Date</t>
  </si>
  <si>
    <t>Deliverable</t>
  </si>
  <si>
    <t>Notes</t>
  </si>
  <si>
    <t>Planning Phase</t>
  </si>
  <si>
    <t>Meeting</t>
  </si>
  <si>
    <t>Review Mutual Action Plan</t>
  </si>
  <si>
    <t>P0</t>
  </si>
  <si>
    <t>Cerkl</t>
  </si>
  <si>
    <t>Completed</t>
  </si>
  <si>
    <t>Agree on weekly meeting date/time</t>
  </si>
  <si>
    <t>Joint</t>
  </si>
  <si>
    <t>Wednesdays, 8am ET</t>
  </si>
  <si>
    <t>Finalize webinar topic and objectives</t>
  </si>
  <si>
    <t>P1</t>
  </si>
  <si>
    <t>Confirm date, time and platform for the event</t>
  </si>
  <si>
    <t>Thu, Apr 30, 2026</t>
  </si>
  <si>
    <t>Agree on giveaway</t>
  </si>
  <si>
    <t>P2</t>
  </si>
  <si>
    <t>Content Development</t>
  </si>
  <si>
    <t>Collaborate on a webinar outline, script and visuals</t>
  </si>
  <si>
    <t>In progress</t>
  </si>
  <si>
    <t>Provide short bio, headshot for registration page, social media and promotional materials</t>
  </si>
  <si>
    <t>Create tracking URLs</t>
  </si>
  <si>
    <t>Promotion</t>
  </si>
  <si>
    <t>Launch registration page</t>
  </si>
  <si>
    <t>Generic, untracked page draft</t>
  </si>
  <si>
    <t>Creation of email and social media campaigns</t>
  </si>
  <si>
    <t>P3</t>
  </si>
  <si>
    <t>LinkedIn</t>
  </si>
  <si>
    <t>LinkedIn Post: Introduce the webinar, highlight its value, provide a registration link. Link to blog post. Tag Speaker.</t>
  </si>
  <si>
    <t>Email</t>
  </si>
  <si>
    <t>Email Blast: Introduce the webinar, highlight its value, provide a registration link. Include both logos.</t>
  </si>
  <si>
    <t>Write and publish Thought Leadership post</t>
  </si>
  <si>
    <t>LinkedIn Post: Introduce the webinar, highlight its value, provide a registration link. Link to blog post. Tag Cerkl.</t>
  </si>
  <si>
    <t>Not started</t>
  </si>
  <si>
    <t>Blog</t>
  </si>
  <si>
    <t>Write and publish the first blog post introducing the topic and speakers. Link to speaker website.</t>
  </si>
  <si>
    <t>Email #2 reiterating key points and benefits.</t>
  </si>
  <si>
    <t>Boost last-minute registrations, reiterating key points and benefits.</t>
  </si>
  <si>
    <t>Email #3 - last minute reminder, reiterating key points and benefits.</t>
  </si>
  <si>
    <t>Webinar</t>
  </si>
  <si>
    <t>Rehearsal</t>
  </si>
  <si>
    <t>3pm (10am EDT)</t>
  </si>
  <si>
    <t>Event</t>
  </si>
  <si>
    <t>Host the live event with a recording</t>
  </si>
  <si>
    <t>Follow-up</t>
  </si>
  <si>
    <t>Distribute the recording and asset to all registrants</t>
  </si>
  <si>
    <t>Share registrations with speaker(s)</t>
  </si>
  <si>
    <t>Release a post-webinar blog with a summary and key takeaways</t>
  </si>
  <si>
    <t>Select and notify giveaway winner</t>
  </si>
  <si>
    <t>cerkl_linkedin</t>
  </si>
  <si>
    <t>https://us02web.zoom.us/webinar/register/2617762528258/WN_6CQcs14XRJeKF567KBWK7Q</t>
  </si>
  <si>
    <t>cerkl_email</t>
  </si>
  <si>
    <t>https://us02web.zoom.us/webinar/register/2317762528324/WN_6CQcs14XRJeKF567KBWK7Q</t>
  </si>
  <si>
    <t>matt-frost_linkedin</t>
  </si>
  <si>
    <t>https://us02web.zoom.us/webinar/register/3617762528426/WN_6CQcs14XRJeKF567KBWK7Q</t>
  </si>
  <si>
    <t>cerkl_customer-success</t>
  </si>
  <si>
    <t>https://us02web.zoom.us/webinar/register/5417762528644/WN_6CQcs14XRJeKF567KBWK7Q</t>
  </si>
  <si>
    <t>cerkl_cerklular</t>
  </si>
  <si>
    <t>https://us02web.zoom.us/webinar/register/4317762528802/WN_6CQcs14XRJeKF567KBWK7Q</t>
  </si>
  <si>
    <t>cerkl_icpro</t>
  </si>
  <si>
    <t>https://us02web.zoom.us/webinar/register/7917762528892/WN_6CQcs14XRJeKF567KBWK7Q</t>
  </si>
  <si>
    <t>matt-frost_email</t>
  </si>
  <si>
    <t>https://us02web.zoom.us/webinar/register/9817762529325/WN_6CQcs14XRJeKF567KBWK7Q</t>
  </si>
  <si>
    <t>cerkl_sales</t>
  </si>
  <si>
    <t>https://us02web.zoom.us/webinar/register/4517762529666/WN_6CQcs14XRJeKF567KBWK7Q</t>
  </si>
  <si>
    <t>cerkl_innercerkl-news</t>
  </si>
  <si>
    <t>https://us02web.zoom.us/webinar/register/7717762543467/WN_6CQcs14XRJeKF567KBWK7Q</t>
  </si>
  <si>
    <t>matt-frost_website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</si>
</sst>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&quot;, &quot;mmm&quot; &quot;d&quot;, &quot;yyyy"/>
    <numFmt numFmtId="165" formatCode="M/d/yyyy"/>
    <numFmt numFmtId="166" formatCode="mmm d, yyyy h:mm am/pm"/>
  </numFmts>
  <fonts count="22">
    <font>
      <sz val="11.0"/>
      <color theme="1"/>
      <name val="Verdana"/>
      <scheme val="minor"/>
    </font>
    <font>
      <sz val="14.0"/>
      <color theme="1"/>
      <name val="Arial"/>
    </font>
    <font>
      <sz val="11.0"/>
      <color theme="1"/>
      <name val="Arial"/>
    </font>
    <font>
      <b/>
      <sz val="20.0"/>
      <color theme="1"/>
      <name val="Ebrima"/>
    </font>
    <font>
      <sz val="10.0"/>
      <color theme="1"/>
      <name val="Arial"/>
    </font>
    <font>
      <sz val="9.0"/>
      <color theme="1"/>
      <name val="Arial"/>
    </font>
    <font>
      <sz val="9.0"/>
      <color theme="0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color theme="1"/>
      <name val="Poppins"/>
    </font>
    <font>
      <i/>
      <color theme="1"/>
      <name val="Poppins"/>
    </font>
    <font>
      <u/>
      <color theme="1"/>
      <name val="Poppins"/>
    </font>
    <font>
      <color theme="1"/>
      <name val="Poppins"/>
    </font>
    <font>
      <u/>
      <color theme="1"/>
      <name val="Poppins"/>
    </font>
    <font>
      <i/>
      <u/>
      <color rgb="FF434343"/>
      <name val="Poppins"/>
    </font>
    <font>
      <sz val="11.0"/>
      <color theme="1"/>
      <name val="Verdana"/>
    </font>
    <font>
      <sz val="11.0"/>
      <color rgb="FF434343"/>
      <name val="Poppins"/>
    </font>
    <font>
      <sz val="11.0"/>
      <color rgb="FF29332B"/>
      <name val="Poppins"/>
    </font>
    <font>
      <sz val="11.0"/>
      <color rgb="FF2A4AB0"/>
      <name val="Poppins"/>
    </font>
    <font>
      <b/>
      <i/>
      <color theme="1"/>
      <name val="Poppins"/>
    </font>
    <font>
      <color theme="1"/>
      <name val="Verdana"/>
      <scheme val="minor"/>
    </font>
    <font>
      <u/>
      <sz val="11.0"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rgb="FF595959"/>
        <bgColor rgb="FF595959"/>
      </patternFill>
    </fill>
    <fill>
      <patternFill patternType="solid">
        <fgColor rgb="FF0E2841"/>
        <bgColor rgb="FF0E2841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bottom style="thin">
        <color rgb="FFEAEAF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4" numFmtId="15" xfId="0" applyAlignment="1" applyFont="1" applyNumberFormat="1">
      <alignment horizontal="left" readingOrder="0"/>
    </xf>
    <xf borderId="1" fillId="2" fontId="5" numFmtId="0" xfId="0" applyBorder="1" applyFill="1" applyFont="1"/>
    <xf borderId="0" fillId="0" fontId="4" numFmtId="14" xfId="0" applyAlignment="1" applyFont="1" applyNumberFormat="1">
      <alignment horizontal="left"/>
    </xf>
    <xf borderId="1" fillId="3" fontId="5" numFmtId="0" xfId="0" applyBorder="1" applyFill="1" applyFont="1"/>
    <xf borderId="1" fillId="4" fontId="6" numFmtId="0" xfId="0" applyBorder="1" applyFill="1" applyFont="1"/>
    <xf borderId="2" fillId="5" fontId="4" numFmtId="0" xfId="0" applyAlignment="1" applyBorder="1" applyFill="1" applyFont="1">
      <alignment shrinkToFit="0" vertical="top" wrapText="1"/>
    </xf>
    <xf borderId="1" fillId="5" fontId="7" numFmtId="0" xfId="0" applyAlignment="1" applyBorder="1" applyFont="1">
      <alignment shrinkToFit="0" vertical="top" wrapText="1"/>
    </xf>
    <xf borderId="2" fillId="5" fontId="7" numFmtId="0" xfId="0" applyAlignment="1" applyBorder="1" applyFont="1">
      <alignment shrinkToFit="0" vertical="top" wrapText="1"/>
    </xf>
    <xf borderId="1" fillId="5" fontId="7" numFmtId="0" xfId="0" applyAlignment="1" applyBorder="1" applyFont="1">
      <alignment vertical="top"/>
    </xf>
    <xf borderId="2" fillId="6" fontId="4" numFmtId="0" xfId="0" applyAlignment="1" applyBorder="1" applyFill="1" applyFont="1">
      <alignment shrinkToFit="0" vertical="top" wrapText="1"/>
    </xf>
    <xf borderId="1" fillId="6" fontId="4" numFmtId="0" xfId="0" applyAlignment="1" applyBorder="1" applyFont="1">
      <alignment shrinkToFit="0" vertical="top" wrapText="1"/>
    </xf>
    <xf borderId="2" fillId="6" fontId="7" numFmtId="0" xfId="0" applyAlignment="1" applyBorder="1" applyFont="1">
      <alignment shrinkToFit="0" vertical="top" wrapText="1"/>
    </xf>
    <xf borderId="1" fillId="6" fontId="7" numFmtId="0" xfId="0" applyAlignment="1" applyBorder="1" applyFont="1">
      <alignment vertical="top"/>
    </xf>
    <xf borderId="3" fillId="0" fontId="4" numFmtId="0" xfId="0" applyAlignment="1" applyBorder="1" applyFont="1">
      <alignment vertical="top"/>
    </xf>
    <xf borderId="0" fillId="0" fontId="4" numFmtId="0" xfId="0" applyAlignment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0" fillId="0" fontId="4" numFmtId="16" xfId="0" applyAlignment="1" applyFont="1" applyNumberFormat="1">
      <alignment vertical="top"/>
    </xf>
    <xf borderId="2" fillId="7" fontId="4" numFmtId="0" xfId="0" applyAlignment="1" applyBorder="1" applyFill="1" applyFont="1">
      <alignment vertical="top"/>
    </xf>
    <xf borderId="0" fillId="0" fontId="4" numFmtId="0" xfId="0" applyAlignment="1" applyFont="1">
      <alignment vertical="top"/>
    </xf>
    <xf borderId="3" fillId="0" fontId="4" numFmtId="0" xfId="0" applyAlignment="1" applyBorder="1" applyFont="1">
      <alignment horizontal="left" shrinkToFit="0" vertical="top" wrapText="1"/>
    </xf>
    <xf borderId="2" fillId="6" fontId="4" numFmtId="0" xfId="0" applyAlignment="1" applyBorder="1" applyFont="1">
      <alignment vertical="top"/>
    </xf>
    <xf borderId="1" fillId="6" fontId="8" numFmtId="0" xfId="0" applyAlignment="1" applyBorder="1" applyFont="1">
      <alignment shrinkToFit="0" vertical="top" wrapText="1"/>
    </xf>
    <xf borderId="1" fillId="6" fontId="4" numFmtId="16" xfId="0" applyAlignment="1" applyBorder="1" applyFont="1" applyNumberFormat="1">
      <alignment vertical="top"/>
    </xf>
    <xf borderId="0" fillId="0" fontId="8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4" fillId="0" fontId="4" numFmtId="0" xfId="0" applyAlignment="1" applyBorder="1" applyFont="1">
      <alignment vertical="top"/>
    </xf>
    <xf borderId="5" fillId="0" fontId="8" numFmtId="0" xfId="0" applyAlignment="1" applyBorder="1" applyFont="1">
      <alignment horizontal="left" vertical="top"/>
    </xf>
    <xf borderId="5" fillId="0" fontId="4" numFmtId="16" xfId="0" applyAlignment="1" applyBorder="1" applyFont="1" applyNumberFormat="1">
      <alignment vertical="top"/>
    </xf>
    <xf borderId="6" fillId="7" fontId="4" numFmtId="0" xfId="0" applyAlignment="1" applyBorder="1" applyFont="1">
      <alignment vertical="top"/>
    </xf>
    <xf borderId="0" fillId="0" fontId="4" numFmtId="14" xfId="0" applyAlignment="1" applyFont="1" applyNumberFormat="1">
      <alignment vertical="top"/>
    </xf>
    <xf borderId="1" fillId="6" fontId="4" numFmtId="0" xfId="0" applyAlignment="1" applyBorder="1" applyFont="1">
      <alignment vertical="top"/>
    </xf>
    <xf borderId="3" fillId="0" fontId="4" numFmtId="0" xfId="0" applyAlignment="1" applyBorder="1" applyFont="1">
      <alignment readingOrder="0" vertical="top"/>
    </xf>
    <xf borderId="5" fillId="0" fontId="4" numFmtId="0" xfId="0" applyAlignment="1" applyBorder="1" applyFont="1">
      <alignment vertical="top"/>
    </xf>
    <xf borderId="5" fillId="0" fontId="4" numFmtId="14" xfId="0" applyAlignment="1" applyBorder="1" applyFont="1" applyNumberFormat="1">
      <alignment vertical="top"/>
    </xf>
    <xf borderId="0" fillId="0" fontId="9" numFmtId="0" xfId="0" applyAlignment="1" applyFont="1">
      <alignment horizontal="right" readingOrder="0" shrinkToFit="0" vertical="center" wrapText="1"/>
    </xf>
    <xf borderId="0" fillId="0" fontId="10" numFmtId="164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right"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2" numFmtId="0" xfId="0" applyFont="1"/>
    <xf borderId="0" fillId="0" fontId="10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0"/>
    </xf>
    <xf borderId="0" fillId="0" fontId="12" numFmtId="49" xfId="0" applyAlignment="1" applyFont="1" applyNumberFormat="1">
      <alignment readingOrder="0" shrinkToFit="0" vertical="center" wrapText="1"/>
    </xf>
    <xf borderId="0" fillId="0" fontId="12" numFmtId="0" xfId="0" applyAlignment="1" applyFont="1">
      <alignment readingOrder="0" shrinkToFit="0" vertical="center" wrapText="0"/>
    </xf>
    <xf borderId="0" fillId="0" fontId="12" numFmtId="165" xfId="0" applyAlignment="1" applyFont="1" applyNumberFormat="1">
      <alignment shrinkToFit="0" vertical="center" wrapText="0"/>
    </xf>
    <xf borderId="0" fillId="0" fontId="12" numFmtId="49" xfId="0" applyAlignment="1" applyFont="1" applyNumberFormat="1">
      <alignment shrinkToFit="0" vertical="center" wrapText="0"/>
    </xf>
    <xf borderId="0" fillId="0" fontId="10" numFmtId="49" xfId="0" applyAlignment="1" applyFont="1" applyNumberFormat="1">
      <alignment readingOrder="0" shrinkToFit="0" vertical="center" wrapText="0"/>
    </xf>
    <xf borderId="0" fillId="0" fontId="13" numFmtId="49" xfId="0" applyAlignment="1" applyFont="1" applyNumberFormat="1">
      <alignment readingOrder="0" shrinkToFit="0" vertical="center" wrapText="0"/>
    </xf>
    <xf borderId="0" fillId="0" fontId="12" numFmtId="164" xfId="0" applyAlignment="1" applyFont="1" applyNumberFormat="1">
      <alignment horizontal="left"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49" xfId="0" applyAlignment="1" applyFont="1" applyNumberFormat="1">
      <alignment horizontal="left" readingOrder="0" shrinkToFit="0" vertical="center" wrapText="0"/>
    </xf>
    <xf borderId="0" fillId="0" fontId="12" numFmtId="49" xfId="0" applyAlignment="1" applyFont="1" applyNumberFormat="1">
      <alignment readingOrder="0" shrinkToFit="0" vertical="center" wrapText="1"/>
    </xf>
    <xf borderId="0" fillId="0" fontId="14" numFmtId="49" xfId="0" applyAlignment="1" applyFont="1" applyNumberFormat="1">
      <alignment readingOrder="0" shrinkToFit="0" vertical="center" wrapText="0"/>
    </xf>
    <xf borderId="0" fillId="0" fontId="15" numFmtId="0" xfId="0" applyAlignment="1" applyFont="1">
      <alignment vertical="bottom"/>
    </xf>
    <xf borderId="7" fillId="8" fontId="16" numFmtId="0" xfId="0" applyAlignment="1" applyBorder="1" applyFill="1" applyFont="1">
      <alignment shrinkToFit="0" vertical="center" wrapText="0"/>
    </xf>
    <xf borderId="8" fillId="8" fontId="16" numFmtId="49" xfId="0" applyAlignment="1" applyBorder="1" applyFont="1" applyNumberFormat="1">
      <alignment shrinkToFit="0" vertical="center" wrapText="1"/>
    </xf>
    <xf borderId="8" fillId="8" fontId="17" numFmtId="0" xfId="0" applyAlignment="1" applyBorder="1" applyFont="1">
      <alignment shrinkToFit="0" vertical="center" wrapText="0"/>
    </xf>
    <xf borderId="8" fillId="8" fontId="16" numFmtId="164" xfId="0" applyAlignment="1" applyBorder="1" applyFont="1" applyNumberFormat="1">
      <alignment readingOrder="0" shrinkToFit="0" vertical="center" wrapText="0"/>
    </xf>
    <xf borderId="8" fillId="8" fontId="18" numFmtId="0" xfId="0" applyAlignment="1" applyBorder="1" applyFont="1">
      <alignment readingOrder="0" shrinkToFit="0" vertical="center" wrapText="0"/>
    </xf>
    <xf borderId="8" fillId="8" fontId="15" numFmtId="49" xfId="0" applyAlignment="1" applyBorder="1" applyFont="1" applyNumberFormat="1">
      <alignment shrinkToFit="0" vertical="center" wrapText="0"/>
    </xf>
    <xf borderId="9" fillId="8" fontId="15" numFmtId="49" xfId="0" applyAlignment="1" applyBorder="1" applyFont="1" applyNumberFormat="1">
      <alignment shrinkToFit="0" vertical="center" wrapText="0"/>
    </xf>
    <xf borderId="10" fillId="9" fontId="16" numFmtId="0" xfId="0" applyAlignment="1" applyBorder="1" applyFill="1" applyFont="1">
      <alignment shrinkToFit="0" vertical="center" wrapText="0"/>
    </xf>
    <xf borderId="11" fillId="9" fontId="16" numFmtId="49" xfId="0" applyAlignment="1" applyBorder="1" applyFont="1" applyNumberFormat="1">
      <alignment readingOrder="0" shrinkToFit="0" vertical="center" wrapText="0"/>
    </xf>
    <xf borderId="12" fillId="9" fontId="16" numFmtId="49" xfId="0" applyAlignment="1" applyBorder="1" applyFont="1" applyNumberFormat="1">
      <alignment readingOrder="0" shrinkToFit="0" vertical="center" wrapText="1"/>
    </xf>
    <xf borderId="12" fillId="9" fontId="17" numFmtId="0" xfId="0" applyAlignment="1" applyBorder="1" applyFont="1">
      <alignment shrinkToFit="0" vertical="center" wrapText="0"/>
    </xf>
    <xf borderId="12" fillId="9" fontId="16" numFmtId="164" xfId="0" applyAlignment="1" applyBorder="1" applyFont="1" applyNumberFormat="1">
      <alignment readingOrder="0" shrinkToFit="0" vertical="center" wrapText="0"/>
    </xf>
    <xf borderId="12" fillId="9" fontId="18" numFmtId="0" xfId="0" applyAlignment="1" applyBorder="1" applyFont="1">
      <alignment readingOrder="0" shrinkToFit="0" vertical="center" wrapText="0"/>
    </xf>
    <xf borderId="12" fillId="9" fontId="15" numFmtId="49" xfId="0" applyAlignment="1" applyBorder="1" applyFont="1" applyNumberFormat="1">
      <alignment shrinkToFit="0" vertical="center" wrapText="0"/>
    </xf>
    <xf borderId="13" fillId="9" fontId="15" numFmtId="49" xfId="0" applyAlignment="1" applyBorder="1" applyFont="1" applyNumberFormat="1">
      <alignment shrinkToFit="0" vertical="center" wrapText="0"/>
    </xf>
    <xf borderId="0" fillId="8" fontId="16" numFmtId="49" xfId="0" applyAlignment="1" applyFont="1" applyNumberFormat="1">
      <alignment readingOrder="0" shrinkToFit="0" vertical="center" wrapText="0"/>
    </xf>
    <xf borderId="8" fillId="8" fontId="16" numFmtId="164" xfId="0" applyAlignment="1" applyBorder="1" applyFont="1" applyNumberFormat="1">
      <alignment shrinkToFit="0" vertical="center" wrapText="0"/>
    </xf>
    <xf borderId="8" fillId="8" fontId="18" numFmtId="0" xfId="0" applyAlignment="1" applyBorder="1" applyFont="1">
      <alignment shrinkToFit="0" vertical="center" wrapText="0"/>
    </xf>
    <xf borderId="12" fillId="9" fontId="18" numFmtId="0" xfId="0" applyAlignment="1" applyBorder="1" applyFont="1">
      <alignment shrinkToFit="0" vertical="center" wrapText="0"/>
    </xf>
    <xf borderId="0" fillId="0" fontId="9" numFmtId="0" xfId="0" applyFont="1"/>
    <xf borderId="12" fillId="9" fontId="16" numFmtId="49" xfId="0" applyAlignment="1" applyBorder="1" applyFont="1" applyNumberFormat="1">
      <alignment shrinkToFit="0" vertical="center" wrapText="0"/>
    </xf>
    <xf borderId="12" fillId="9" fontId="16" numFmtId="49" xfId="0" applyAlignment="1" applyBorder="1" applyFont="1" applyNumberFormat="1">
      <alignment shrinkToFit="0" vertical="center" wrapText="1"/>
    </xf>
    <xf borderId="12" fillId="9" fontId="16" numFmtId="49" xfId="0" applyAlignment="1" applyBorder="1" applyFont="1" applyNumberFormat="1">
      <alignment readingOrder="0" shrinkToFit="0" vertical="center" wrapText="0"/>
    </xf>
    <xf borderId="12" fillId="9" fontId="16" numFmtId="165" xfId="0" applyAlignment="1" applyBorder="1" applyFont="1" applyNumberFormat="1">
      <alignment horizontal="right" shrinkToFit="0" vertical="center" wrapText="0"/>
    </xf>
    <xf borderId="0" fillId="9" fontId="16" numFmtId="0" xfId="0" applyAlignment="1" applyFont="1">
      <alignment readingOrder="0" shrinkToFit="0" vertical="center" wrapText="0"/>
    </xf>
    <xf borderId="0" fillId="9" fontId="16" numFmtId="49" xfId="0" applyAlignment="1" applyFont="1" applyNumberFormat="1">
      <alignment readingOrder="0" shrinkToFit="0" vertical="center" wrapText="0"/>
    </xf>
    <xf borderId="0" fillId="9" fontId="16" numFmtId="49" xfId="0" applyAlignment="1" applyFont="1" applyNumberFormat="1">
      <alignment shrinkToFit="0" vertical="center" wrapText="1"/>
    </xf>
    <xf borderId="0" fillId="9" fontId="17" numFmtId="0" xfId="0" applyAlignment="1" applyFont="1">
      <alignment shrinkToFit="0" vertical="center" wrapText="0"/>
    </xf>
    <xf borderId="0" fillId="9" fontId="18" numFmtId="0" xfId="0" applyAlignment="1" applyFont="1">
      <alignment shrinkToFit="0" vertical="center" wrapText="0"/>
    </xf>
    <xf borderId="0" fillId="9" fontId="16" numFmtId="165" xfId="0" applyAlignment="1" applyFont="1" applyNumberFormat="1">
      <alignment horizontal="right" shrinkToFit="0" vertical="center" wrapText="0"/>
    </xf>
    <xf borderId="0" fillId="9" fontId="15" numFmtId="49" xfId="0" applyAlignment="1" applyFont="1" applyNumberFormat="1">
      <alignment shrinkToFit="0" vertical="center" wrapText="0"/>
    </xf>
    <xf borderId="0" fillId="9" fontId="15" numFmtId="49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0" fontId="9" numFmtId="49" xfId="0" applyAlignment="1" applyFont="1" applyNumberForma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9" numFmtId="164" xfId="0" applyAlignment="1" applyFont="1" applyNumberFormat="1">
      <alignment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19" numFmtId="49" xfId="0" applyAlignment="1" applyFont="1" applyNumberFormat="1">
      <alignment readingOrder="0" shrinkToFit="0" vertical="center" wrapText="0"/>
    </xf>
    <xf borderId="14" fillId="8" fontId="16" numFmtId="49" xfId="0" applyAlignment="1" applyBorder="1" applyFont="1" applyNumberFormat="1">
      <alignment readingOrder="0" shrinkToFit="0" vertical="center" wrapText="0"/>
    </xf>
    <xf borderId="8" fillId="8" fontId="16" numFmtId="49" xfId="0" applyAlignment="1" applyBorder="1" applyFont="1" applyNumberFormat="1">
      <alignment readingOrder="0" shrinkToFit="0" vertical="center" wrapText="1"/>
    </xf>
    <xf borderId="8" fillId="8" fontId="15" numFmtId="49" xfId="0" applyAlignment="1" applyBorder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49" xfId="0" applyAlignment="1" applyFont="1" applyNumberFormat="1">
      <alignment shrinkToFit="0" vertical="center" wrapText="1"/>
    </xf>
    <xf borderId="0" fillId="0" fontId="12" numFmtId="0" xfId="0" applyAlignment="1" applyFont="1">
      <alignment shrinkToFit="0" vertical="center" wrapText="0"/>
    </xf>
    <xf borderId="0" fillId="9" fontId="0" numFmtId="0" xfId="0" applyFont="1"/>
    <xf borderId="0" fillId="0" fontId="20" numFmtId="166" xfId="0" applyAlignment="1" applyFont="1" applyNumberFormat="1">
      <alignment readingOrder="0"/>
    </xf>
    <xf borderId="15" fillId="9" fontId="0" numFmtId="0" xfId="0" applyAlignment="1" applyBorder="1" applyFont="1">
      <alignment horizontal="left" readingOrder="0" shrinkToFit="0" wrapText="0"/>
    </xf>
    <xf borderId="15" fillId="9" fontId="21" numFmtId="0" xfId="0" applyAlignment="1" applyBorder="1" applyFont="1">
      <alignment horizontal="left" readingOrder="0" shrinkToFit="0" wrapText="0"/>
    </xf>
    <xf borderId="15" fillId="9" fontId="0" numFmtId="0" xfId="0" applyAlignment="1" applyBorder="1" applyFont="1">
      <alignment horizontal="left" shrinkToFit="0" wrapText="0"/>
    </xf>
    <xf borderId="0" fillId="9" fontId="0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4" pivot="0" name="Project Plan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H25" displayName="Table_1" name="Table_1" id="1">
  <tableColumns count="7">
    <tableColumn name="Column 1" id="1"/>
    <tableColumn name="Column2" id="2"/>
    <tableColumn name="Where to Find" id="3"/>
    <tableColumn name=" Assigned To" id="4"/>
    <tableColumn name="Notes " id="5"/>
    <tableColumn name="Completion Date" id="6"/>
    <tableColumn name="Statu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4:I41" displayName="MAP" name="MAP" id="2">
  <tableColumns count="9">
    <tableColumn name="Category" id="1"/>
    <tableColumn name="Type" id="2"/>
    <tableColumn name="Task" id="3"/>
    <tableColumn name="Priority" id="4"/>
    <tableColumn name="Owner" id="5"/>
    <tableColumn name="Status" id="6"/>
    <tableColumn name="Due Date" id="7"/>
    <tableColumn name="Deliverable" id="8"/>
    <tableColumn name="Notes" id="9"/>
  </tableColumns>
  <tableStyleInfo name="Projec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F84D-FZlRTYpefjaOGdpHFj5PsmIoLLH6alkaVgwIg/edit?tab=t.0" TargetMode="External"/><Relationship Id="rId2" Type="http://schemas.openxmlformats.org/officeDocument/2006/relationships/hyperlink" Target="https://docs.google.com/document/d/1xF84D-FZlRTYpefjaOGdpHFj5PsmIoLLH6alkaVgwIg/edit?tab=t.0" TargetMode="External"/><Relationship Id="rId3" Type="http://schemas.openxmlformats.org/officeDocument/2006/relationships/hyperlink" Target="https://us02web.zoom.us/webinar/register/WN_6CQcs14XRJeKF567KBWK7Q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s02web.zoom.us/webinar/register/2617762528258/WN_6CQcs14XRJeKF567KBWK7Q" TargetMode="External"/><Relationship Id="rId2" Type="http://schemas.openxmlformats.org/officeDocument/2006/relationships/hyperlink" Target="https://us02web.zoom.us/webinar/register/2317762528324/WN_6CQcs14XRJeKF567KBWK7Q" TargetMode="External"/><Relationship Id="rId3" Type="http://schemas.openxmlformats.org/officeDocument/2006/relationships/hyperlink" Target="https://us02web.zoom.us/webinar/register/3617762528426/WN_6CQcs14XRJeKF567KBWK7Q" TargetMode="External"/><Relationship Id="rId4" Type="http://schemas.openxmlformats.org/officeDocument/2006/relationships/hyperlink" Target="https://us02web.zoom.us/webinar/register/5417762528644/WN_6CQcs14XRJeKF567KBWK7Q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us02web.zoom.us/webinar/register/7717762543467/WN_6CQcs14XRJeKF567KBWK7Q" TargetMode="External"/><Relationship Id="rId5" Type="http://schemas.openxmlformats.org/officeDocument/2006/relationships/hyperlink" Target="https://us02web.zoom.us/webinar/register/4317762528802/WN_6CQcs14XRJeKF567KBWK7Q" TargetMode="External"/><Relationship Id="rId6" Type="http://schemas.openxmlformats.org/officeDocument/2006/relationships/hyperlink" Target="https://us02web.zoom.us/webinar/register/7917762528892/WN_6CQcs14XRJeKF567KBWK7Q" TargetMode="External"/><Relationship Id="rId7" Type="http://schemas.openxmlformats.org/officeDocument/2006/relationships/hyperlink" Target="https://us02web.zoom.us/webinar/register/9817762529325/WN_6CQcs14XRJeKF567KBWK7Q" TargetMode="External"/><Relationship Id="rId8" Type="http://schemas.openxmlformats.org/officeDocument/2006/relationships/hyperlink" Target="https://us02web.zoom.us/webinar/register/4517762529666/WN_6CQcs14XRJeKF567KBWK7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67"/>
    <col customWidth="1" min="2" max="2" width="9.89"/>
    <col customWidth="1" min="3" max="3" width="24.33"/>
    <col customWidth="1" min="4" max="4" width="15.56"/>
    <col customWidth="1" min="5" max="5" width="14.78"/>
    <col customWidth="1" min="6" max="6" width="25.78"/>
    <col customWidth="1" min="7" max="7" width="23.78"/>
    <col customWidth="1" min="8" max="26" width="7.67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3"/>
      <c r="H2" s="2"/>
    </row>
    <row r="3" ht="14.25" customHeight="1">
      <c r="B3" s="4"/>
      <c r="C3" s="5" t="s">
        <v>1</v>
      </c>
      <c r="D3" s="6"/>
      <c r="E3" s="7" t="s">
        <v>2</v>
      </c>
      <c r="F3" s="8">
        <v>45912.0</v>
      </c>
      <c r="H3" s="9" t="s">
        <v>3</v>
      </c>
    </row>
    <row r="4" ht="14.25" customHeight="1">
      <c r="B4" s="4"/>
      <c r="C4" s="5" t="s">
        <v>4</v>
      </c>
      <c r="D4" s="6"/>
      <c r="E4" s="7" t="s">
        <v>5</v>
      </c>
      <c r="F4" s="10">
        <v>45917.0</v>
      </c>
      <c r="H4" s="11" t="s">
        <v>6</v>
      </c>
    </row>
    <row r="5" ht="14.25" customHeight="1">
      <c r="B5" s="4"/>
      <c r="C5" s="5"/>
      <c r="D5" s="6"/>
      <c r="E5" s="4"/>
      <c r="F5" s="4"/>
      <c r="G5" s="4"/>
      <c r="H5" s="12" t="s">
        <v>7</v>
      </c>
    </row>
    <row r="6" ht="14.25" customHeight="1">
      <c r="B6" s="2"/>
      <c r="C6" s="2"/>
      <c r="D6" s="2"/>
      <c r="E6" s="2"/>
      <c r="F6" s="2"/>
      <c r="G6" s="2"/>
      <c r="H6" s="2"/>
    </row>
    <row r="7" ht="14.25" customHeight="1">
      <c r="B7" s="13" t="s">
        <v>8</v>
      </c>
      <c r="C7" s="14" t="s">
        <v>9</v>
      </c>
      <c r="D7" s="15" t="s">
        <v>10</v>
      </c>
      <c r="E7" s="15" t="s">
        <v>11</v>
      </c>
      <c r="F7" s="15" t="s">
        <v>12</v>
      </c>
      <c r="G7" s="16" t="s">
        <v>13</v>
      </c>
      <c r="H7" s="15" t="s">
        <v>14</v>
      </c>
    </row>
    <row r="8" ht="14.25" customHeight="1">
      <c r="B8" s="17"/>
      <c r="C8" s="18" t="s">
        <v>15</v>
      </c>
      <c r="D8" s="19"/>
      <c r="E8" s="19"/>
      <c r="F8" s="19"/>
      <c r="G8" s="20"/>
      <c r="H8" s="19"/>
    </row>
    <row r="9" ht="14.25" customHeight="1">
      <c r="B9" s="21"/>
      <c r="C9" s="22" t="s">
        <v>16</v>
      </c>
      <c r="D9" s="21" t="s">
        <v>17</v>
      </c>
      <c r="E9" s="21"/>
      <c r="F9" s="23" t="s">
        <v>18</v>
      </c>
      <c r="G9" s="24"/>
      <c r="H9" s="25"/>
    </row>
    <row r="10" ht="14.25" customHeight="1">
      <c r="B10" s="21"/>
      <c r="C10" s="26" t="s">
        <v>19</v>
      </c>
      <c r="D10" s="21"/>
      <c r="E10" s="21"/>
      <c r="F10" s="23" t="s">
        <v>20</v>
      </c>
      <c r="G10" s="24"/>
      <c r="H10" s="25"/>
    </row>
    <row r="11" ht="14.25" customHeight="1">
      <c r="B11" s="21"/>
      <c r="C11" s="26"/>
      <c r="D11" s="21"/>
      <c r="E11" s="21"/>
      <c r="F11" s="23"/>
      <c r="G11" s="24"/>
      <c r="H11" s="25"/>
    </row>
    <row r="12" ht="14.25" customHeight="1">
      <c r="B12" s="21"/>
      <c r="C12" s="22"/>
      <c r="D12" s="21"/>
      <c r="E12" s="21"/>
      <c r="F12" s="27"/>
      <c r="G12" s="24"/>
      <c r="H12" s="25"/>
    </row>
    <row r="13" ht="14.25" customHeight="1">
      <c r="B13" s="28"/>
      <c r="C13" s="29" t="s">
        <v>21</v>
      </c>
      <c r="D13" s="28"/>
      <c r="E13" s="28"/>
      <c r="F13" s="17"/>
      <c r="G13" s="30"/>
      <c r="H13" s="28"/>
    </row>
    <row r="14" ht="14.25" customHeight="1">
      <c r="B14" s="21"/>
      <c r="C14" s="31" t="s">
        <v>22</v>
      </c>
      <c r="D14" s="21"/>
      <c r="E14" s="21" t="s">
        <v>1</v>
      </c>
      <c r="F14" s="23"/>
      <c r="G14" s="24"/>
      <c r="H14" s="25"/>
    </row>
    <row r="15" ht="14.25" customHeight="1">
      <c r="B15" s="21"/>
      <c r="C15" s="32" t="s">
        <v>23</v>
      </c>
      <c r="D15" s="21"/>
      <c r="E15" s="21" t="s">
        <v>24</v>
      </c>
      <c r="F15" s="21"/>
      <c r="G15" s="24"/>
      <c r="H15" s="25"/>
    </row>
    <row r="16" ht="14.25" customHeight="1">
      <c r="B16" s="21"/>
      <c r="C16" s="31" t="s">
        <v>25</v>
      </c>
      <c r="D16" s="21"/>
      <c r="E16" s="21"/>
      <c r="F16" s="23"/>
      <c r="G16" s="24"/>
      <c r="H16" s="25"/>
    </row>
    <row r="17" ht="14.25" customHeight="1">
      <c r="B17" s="33"/>
      <c r="C17" s="34" t="s">
        <v>26</v>
      </c>
      <c r="D17" s="33"/>
      <c r="E17" s="33"/>
      <c r="F17" s="33"/>
      <c r="G17" s="35"/>
      <c r="H17" s="36"/>
    </row>
    <row r="18" ht="14.25" customHeight="1">
      <c r="B18" s="21"/>
      <c r="C18" s="22"/>
      <c r="D18" s="21"/>
      <c r="E18" s="21"/>
      <c r="F18" s="21"/>
      <c r="G18" s="37"/>
      <c r="H18" s="25"/>
    </row>
    <row r="19" ht="14.25" customHeight="1">
      <c r="B19" s="28"/>
      <c r="C19" s="18" t="s">
        <v>27</v>
      </c>
      <c r="D19" s="28"/>
      <c r="E19" s="28"/>
      <c r="F19" s="28"/>
      <c r="G19" s="38"/>
      <c r="H19" s="28"/>
    </row>
    <row r="20" ht="14.25" customHeight="1">
      <c r="B20" s="21"/>
      <c r="C20" s="26" t="s">
        <v>28</v>
      </c>
      <c r="D20" s="21" t="s">
        <v>29</v>
      </c>
      <c r="E20" s="21"/>
      <c r="F20" s="21"/>
      <c r="G20" s="37"/>
      <c r="H20" s="25"/>
    </row>
    <row r="21" ht="14.25" customHeight="1">
      <c r="B21" s="21"/>
      <c r="C21" s="26" t="s">
        <v>30</v>
      </c>
      <c r="D21" s="21"/>
      <c r="E21" s="21"/>
      <c r="F21" s="21"/>
      <c r="G21" s="37"/>
      <c r="H21" s="25"/>
    </row>
    <row r="22" ht="14.25" customHeight="1">
      <c r="B22" s="21"/>
      <c r="C22" s="26" t="s">
        <v>31</v>
      </c>
      <c r="D22" s="21"/>
      <c r="E22" s="21"/>
      <c r="F22" s="21"/>
      <c r="G22" s="37"/>
      <c r="H22" s="25"/>
    </row>
    <row r="23" ht="14.25" customHeight="1">
      <c r="B23" s="21"/>
      <c r="C23" s="26" t="s">
        <v>32</v>
      </c>
      <c r="D23" s="21"/>
      <c r="E23" s="21"/>
      <c r="F23" s="21" t="s">
        <v>33</v>
      </c>
      <c r="G23" s="37"/>
      <c r="H23" s="36"/>
    </row>
    <row r="24" ht="14.25" customHeight="1">
      <c r="B24" s="21"/>
      <c r="C24" s="26" t="s">
        <v>34</v>
      </c>
      <c r="D24" s="39" t="s">
        <v>35</v>
      </c>
      <c r="E24" s="21"/>
      <c r="F24" s="21"/>
      <c r="G24" s="37"/>
      <c r="H24" s="25"/>
    </row>
    <row r="25" ht="14.25" customHeight="1">
      <c r="B25" s="33"/>
      <c r="C25" s="40"/>
      <c r="D25" s="33"/>
      <c r="E25" s="33"/>
      <c r="F25" s="33"/>
      <c r="G25" s="41"/>
      <c r="H25" s="25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3:G3"/>
    <mergeCell ref="F4:G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24.11"/>
    <col customWidth="1" min="2" max="2" width="12.67"/>
    <col customWidth="1" min="3" max="3" width="45.67"/>
    <col customWidth="1" min="4" max="4" width="12.78"/>
    <col customWidth="1" min="5" max="5" width="24.0"/>
    <col customWidth="1" min="6" max="6" width="20.33"/>
    <col customWidth="1" min="7" max="7" width="17.11"/>
    <col customWidth="1" min="8" max="8" width="18.44"/>
    <col customWidth="1" min="9" max="9" width="63.56"/>
  </cols>
  <sheetData>
    <row r="1" ht="27.0" customHeight="1">
      <c r="A1" s="42" t="s">
        <v>36</v>
      </c>
      <c r="C1" s="43">
        <v>46142.0</v>
      </c>
      <c r="D1" s="44" t="s">
        <v>37</v>
      </c>
      <c r="F1" s="45" t="s">
        <v>38</v>
      </c>
      <c r="H1" s="46"/>
      <c r="I1" s="46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24.75" customHeight="1">
      <c r="A2" s="42" t="s">
        <v>39</v>
      </c>
      <c r="C2" s="48" t="s">
        <v>40</v>
      </c>
      <c r="D2" s="46"/>
      <c r="F2" s="46"/>
      <c r="H2" s="46"/>
      <c r="I2" s="46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7.0" customHeight="1">
      <c r="A3" s="46"/>
      <c r="B3" s="46"/>
      <c r="C3" s="46"/>
      <c r="D3" s="46"/>
      <c r="F3" s="46"/>
      <c r="H3" s="46"/>
      <c r="I3" s="46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27.0" customHeight="1">
      <c r="A4" s="49" t="s">
        <v>41</v>
      </c>
      <c r="B4" s="49" t="s">
        <v>42</v>
      </c>
      <c r="C4" s="49" t="s">
        <v>43</v>
      </c>
      <c r="D4" s="49" t="s">
        <v>44</v>
      </c>
      <c r="E4" s="49" t="s">
        <v>45</v>
      </c>
      <c r="F4" s="49" t="s">
        <v>14</v>
      </c>
      <c r="G4" s="49" t="s">
        <v>46</v>
      </c>
      <c r="H4" s="49" t="s">
        <v>47</v>
      </c>
      <c r="I4" s="49" t="s">
        <v>48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34.5" customHeight="1">
      <c r="A5" s="50" t="s">
        <v>49</v>
      </c>
      <c r="B5" s="51" t="s">
        <v>50</v>
      </c>
      <c r="C5" s="52" t="s">
        <v>51</v>
      </c>
      <c r="D5" s="53" t="s">
        <v>52</v>
      </c>
      <c r="E5" s="51" t="s">
        <v>53</v>
      </c>
      <c r="F5" s="53" t="s">
        <v>54</v>
      </c>
      <c r="G5" s="54">
        <f t="shared" ref="G5:G6" si="1">workday($C$1,-29)</f>
        <v>46101</v>
      </c>
      <c r="H5" s="55"/>
      <c r="I5" s="56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34.5" customHeight="1">
      <c r="A6" s="50" t="s">
        <v>49</v>
      </c>
      <c r="B6" s="51" t="s">
        <v>50</v>
      </c>
      <c r="C6" s="52" t="s">
        <v>55</v>
      </c>
      <c r="D6" s="53" t="s">
        <v>52</v>
      </c>
      <c r="E6" s="51" t="s">
        <v>56</v>
      </c>
      <c r="F6" s="53" t="s">
        <v>54</v>
      </c>
      <c r="G6" s="54">
        <f t="shared" si="1"/>
        <v>46101</v>
      </c>
      <c r="H6" s="55"/>
      <c r="I6" s="51" t="s">
        <v>57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34.5" customHeight="1">
      <c r="A7" s="50" t="s">
        <v>49</v>
      </c>
      <c r="B7" s="51" t="s">
        <v>50</v>
      </c>
      <c r="C7" s="52" t="s">
        <v>58</v>
      </c>
      <c r="D7" s="53" t="s">
        <v>59</v>
      </c>
      <c r="E7" s="51" t="s">
        <v>56</v>
      </c>
      <c r="F7" s="53" t="s">
        <v>54</v>
      </c>
      <c r="G7" s="54">
        <f>workday($C$1,-20)</f>
        <v>46114</v>
      </c>
      <c r="H7" s="55"/>
      <c r="I7" s="57" t="s">
        <v>38</v>
      </c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34.5" customHeight="1">
      <c r="A8" s="50" t="s">
        <v>49</v>
      </c>
      <c r="B8" s="51" t="s">
        <v>50</v>
      </c>
      <c r="C8" s="52" t="s">
        <v>60</v>
      </c>
      <c r="D8" s="53" t="s">
        <v>59</v>
      </c>
      <c r="E8" s="51" t="s">
        <v>56</v>
      </c>
      <c r="F8" s="53" t="s">
        <v>54</v>
      </c>
      <c r="G8" s="54">
        <f>workday($C$1,-30)</f>
        <v>46100</v>
      </c>
      <c r="H8" s="55"/>
      <c r="I8" s="51" t="s">
        <v>61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34.5" customHeight="1">
      <c r="A9" s="50" t="s">
        <v>49</v>
      </c>
      <c r="B9" s="51" t="s">
        <v>50</v>
      </c>
      <c r="C9" s="52" t="s">
        <v>62</v>
      </c>
      <c r="D9" s="53" t="s">
        <v>63</v>
      </c>
      <c r="E9" s="58" t="str">
        <f>$C$2</f>
        <v>Matt Frost</v>
      </c>
      <c r="F9" s="53" t="s">
        <v>54</v>
      </c>
      <c r="G9" s="54">
        <f>workday($C$1,-13)</f>
        <v>46125</v>
      </c>
      <c r="H9" s="55"/>
      <c r="I9" s="55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34.5" customHeight="1">
      <c r="A10" s="50" t="s">
        <v>64</v>
      </c>
      <c r="B10" s="51" t="s">
        <v>43</v>
      </c>
      <c r="C10" s="52" t="s">
        <v>65</v>
      </c>
      <c r="D10" s="59" t="s">
        <v>59</v>
      </c>
      <c r="E10" s="51" t="s">
        <v>56</v>
      </c>
      <c r="F10" s="53" t="s">
        <v>66</v>
      </c>
      <c r="G10" s="54">
        <f>workday($C$1,-3)</f>
        <v>46139</v>
      </c>
      <c r="H10" s="55"/>
      <c r="I10" s="55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34.5" customHeight="1">
      <c r="A11" s="50" t="s">
        <v>64</v>
      </c>
      <c r="B11" s="51" t="s">
        <v>43</v>
      </c>
      <c r="C11" s="52" t="s">
        <v>67</v>
      </c>
      <c r="D11" s="53" t="s">
        <v>59</v>
      </c>
      <c r="E11" s="60" t="str">
        <f>$C$2</f>
        <v>Matt Frost</v>
      </c>
      <c r="F11" s="53" t="s">
        <v>54</v>
      </c>
      <c r="G11" s="54">
        <f>workday($C$1,-16)</f>
        <v>46120</v>
      </c>
      <c r="H11" s="55"/>
      <c r="I11" s="55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34.5" customHeight="1">
      <c r="A12" s="50" t="s">
        <v>64</v>
      </c>
      <c r="B12" s="51" t="s">
        <v>43</v>
      </c>
      <c r="C12" s="52" t="s">
        <v>68</v>
      </c>
      <c r="D12" s="53" t="s">
        <v>63</v>
      </c>
      <c r="E12" s="60" t="s">
        <v>53</v>
      </c>
      <c r="F12" s="53" t="s">
        <v>54</v>
      </c>
      <c r="G12" s="54">
        <f>workday($C$1,-12)</f>
        <v>46126</v>
      </c>
      <c r="H12" s="55"/>
      <c r="I12" s="55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34.5" customHeight="1">
      <c r="A13" s="50" t="s">
        <v>69</v>
      </c>
      <c r="B13" s="51" t="s">
        <v>43</v>
      </c>
      <c r="C13" s="61" t="s">
        <v>70</v>
      </c>
      <c r="D13" s="53" t="s">
        <v>52</v>
      </c>
      <c r="E13" s="51" t="s">
        <v>53</v>
      </c>
      <c r="F13" s="53" t="s">
        <v>54</v>
      </c>
      <c r="G13" s="54">
        <f t="shared" ref="G13:G14" si="2">workday($C$1,-15)</f>
        <v>46121</v>
      </c>
      <c r="H13" s="55"/>
      <c r="I13" s="62" t="s">
        <v>71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34.5" customHeight="1">
      <c r="A14" s="50" t="s">
        <v>69</v>
      </c>
      <c r="B14" s="51" t="s">
        <v>43</v>
      </c>
      <c r="C14" s="52" t="s">
        <v>72</v>
      </c>
      <c r="D14" s="59" t="s">
        <v>73</v>
      </c>
      <c r="E14" s="51" t="s">
        <v>56</v>
      </c>
      <c r="F14" s="53" t="s">
        <v>54</v>
      </c>
      <c r="G14" s="54">
        <f t="shared" si="2"/>
        <v>46121</v>
      </c>
      <c r="H14" s="55"/>
      <c r="I14" s="56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46.5" customHeight="1">
      <c r="A15" s="50" t="s">
        <v>69</v>
      </c>
      <c r="B15" s="51" t="s">
        <v>74</v>
      </c>
      <c r="C15" s="61" t="s">
        <v>75</v>
      </c>
      <c r="D15" s="53" t="s">
        <v>63</v>
      </c>
      <c r="E15" s="58" t="s">
        <v>53</v>
      </c>
      <c r="F15" s="53" t="s">
        <v>54</v>
      </c>
      <c r="G15" s="54">
        <f>workday($C$1,-10)</f>
        <v>46128</v>
      </c>
      <c r="H15" s="55"/>
      <c r="I15" s="56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34.5" customHeight="1">
      <c r="A16" s="50" t="s">
        <v>69</v>
      </c>
      <c r="B16" s="51" t="s">
        <v>76</v>
      </c>
      <c r="C16" s="61" t="s">
        <v>77</v>
      </c>
      <c r="D16" s="53" t="s">
        <v>59</v>
      </c>
      <c r="E16" s="60" t="str">
        <f>$C$2</f>
        <v>Matt Frost</v>
      </c>
      <c r="F16" s="53" t="s">
        <v>66</v>
      </c>
      <c r="G16" s="54">
        <f t="shared" ref="G16:G18" si="3">workday($C$1,-7)</f>
        <v>46133</v>
      </c>
      <c r="H16" s="55"/>
      <c r="I16" s="56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34.5" customHeight="1">
      <c r="A17" s="64" t="s">
        <v>69</v>
      </c>
      <c r="B17" s="51" t="s">
        <v>76</v>
      </c>
      <c r="C17" s="65" t="s">
        <v>77</v>
      </c>
      <c r="D17" s="66" t="s">
        <v>59</v>
      </c>
      <c r="E17" s="67" t="s">
        <v>53</v>
      </c>
      <c r="F17" s="68" t="s">
        <v>66</v>
      </c>
      <c r="G17" s="54">
        <f t="shared" si="3"/>
        <v>46133</v>
      </c>
      <c r="H17" s="69"/>
      <c r="I17" s="70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34.5" customHeight="1">
      <c r="A18" s="50" t="s">
        <v>69</v>
      </c>
      <c r="B18" s="51" t="s">
        <v>74</v>
      </c>
      <c r="C18" s="61" t="s">
        <v>78</v>
      </c>
      <c r="D18" s="53" t="s">
        <v>52</v>
      </c>
      <c r="E18" s="60" t="str">
        <f t="shared" ref="E18:E19" si="4">$C$2</f>
        <v>Matt Frost</v>
      </c>
      <c r="F18" s="53" t="s">
        <v>66</v>
      </c>
      <c r="G18" s="54">
        <f t="shared" si="3"/>
        <v>46133</v>
      </c>
      <c r="H18" s="55"/>
      <c r="I18" s="56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40.5" customHeight="1">
      <c r="A19" s="50" t="s">
        <v>69</v>
      </c>
      <c r="B19" s="51" t="s">
        <v>74</v>
      </c>
      <c r="C19" s="61" t="s">
        <v>79</v>
      </c>
      <c r="D19" s="53" t="s">
        <v>63</v>
      </c>
      <c r="E19" s="60" t="str">
        <f t="shared" si="4"/>
        <v>Matt Frost</v>
      </c>
      <c r="F19" s="53" t="s">
        <v>80</v>
      </c>
      <c r="G19" s="54">
        <f>workday($C$1,-8)</f>
        <v>46132</v>
      </c>
      <c r="H19" s="55"/>
      <c r="I19" s="5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34.5" customHeight="1">
      <c r="A20" s="71" t="s">
        <v>69</v>
      </c>
      <c r="B20" s="72" t="s">
        <v>81</v>
      </c>
      <c r="C20" s="73" t="s">
        <v>82</v>
      </c>
      <c r="D20" s="74" t="s">
        <v>52</v>
      </c>
      <c r="E20" s="75" t="s">
        <v>53</v>
      </c>
      <c r="F20" s="76" t="s">
        <v>66</v>
      </c>
      <c r="G20" s="54">
        <f>workday($C$1,-7)</f>
        <v>46133</v>
      </c>
      <c r="H20" s="77"/>
      <c r="I20" s="78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34.5" customHeight="1">
      <c r="A21" s="50" t="s">
        <v>69</v>
      </c>
      <c r="B21" s="51" t="s">
        <v>76</v>
      </c>
      <c r="C21" s="61" t="s">
        <v>83</v>
      </c>
      <c r="D21" s="53" t="s">
        <v>63</v>
      </c>
      <c r="E21" s="60" t="str">
        <f>$C$2</f>
        <v>Matt Frost</v>
      </c>
      <c r="F21" s="53" t="s">
        <v>80</v>
      </c>
      <c r="G21" s="54">
        <f t="shared" ref="G21:G22" si="5">workday($C$1,-3)</f>
        <v>46139</v>
      </c>
      <c r="H21" s="55"/>
      <c r="I21" s="56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34.5" customHeight="1">
      <c r="A22" s="50" t="s">
        <v>69</v>
      </c>
      <c r="B22" s="51" t="s">
        <v>76</v>
      </c>
      <c r="C22" s="61" t="s">
        <v>83</v>
      </c>
      <c r="D22" s="53" t="s">
        <v>63</v>
      </c>
      <c r="E22" s="60" t="s">
        <v>53</v>
      </c>
      <c r="F22" s="53" t="s">
        <v>80</v>
      </c>
      <c r="G22" s="54">
        <f t="shared" si="5"/>
        <v>46139</v>
      </c>
      <c r="H22" s="55"/>
      <c r="I22" s="56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34.5" customHeight="1">
      <c r="A23" s="64" t="s">
        <v>69</v>
      </c>
      <c r="B23" s="79" t="s">
        <v>74</v>
      </c>
      <c r="C23" s="73" t="s">
        <v>84</v>
      </c>
      <c r="D23" s="66" t="s">
        <v>59</v>
      </c>
      <c r="E23" s="80" t="s">
        <v>53</v>
      </c>
      <c r="F23" s="81" t="s">
        <v>80</v>
      </c>
      <c r="G23" s="54">
        <f t="shared" ref="G23:G24" si="6">workday($C$1,-2)</f>
        <v>46140</v>
      </c>
      <c r="H23" s="69"/>
      <c r="I23" s="70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34.5" customHeight="1">
      <c r="A24" s="71" t="s">
        <v>69</v>
      </c>
      <c r="B24" s="72" t="s">
        <v>74</v>
      </c>
      <c r="C24" s="73" t="s">
        <v>84</v>
      </c>
      <c r="D24" s="74" t="s">
        <v>63</v>
      </c>
      <c r="E24" s="60" t="str">
        <f t="shared" ref="E24:E25" si="7">$C$2</f>
        <v>Matt Frost</v>
      </c>
      <c r="F24" s="82" t="s">
        <v>80</v>
      </c>
      <c r="G24" s="54">
        <f t="shared" si="6"/>
        <v>46140</v>
      </c>
      <c r="H24" s="77"/>
      <c r="I24" s="78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34.5" customHeight="1">
      <c r="A25" s="71" t="s">
        <v>69</v>
      </c>
      <c r="B25" s="84" t="s">
        <v>76</v>
      </c>
      <c r="C25" s="73" t="s">
        <v>85</v>
      </c>
      <c r="D25" s="74" t="s">
        <v>63</v>
      </c>
      <c r="E25" s="84" t="str">
        <f t="shared" si="7"/>
        <v>Matt Frost</v>
      </c>
      <c r="F25" s="82" t="s">
        <v>80</v>
      </c>
      <c r="G25" s="54">
        <f t="shared" ref="G25:G26" si="8">workday($C$1,-1)</f>
        <v>46141</v>
      </c>
      <c r="H25" s="77"/>
      <c r="I25" s="78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34.5" customHeight="1">
      <c r="A26" s="71" t="s">
        <v>69</v>
      </c>
      <c r="B26" s="84" t="s">
        <v>76</v>
      </c>
      <c r="C26" s="85" t="s">
        <v>85</v>
      </c>
      <c r="D26" s="74" t="s">
        <v>63</v>
      </c>
      <c r="E26" s="86" t="s">
        <v>53</v>
      </c>
      <c r="F26" s="82" t="s">
        <v>80</v>
      </c>
      <c r="G26" s="87">
        <f t="shared" si="8"/>
        <v>46141</v>
      </c>
      <c r="H26" s="77"/>
      <c r="I26" s="78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34.5" customHeight="1">
      <c r="A27" s="88" t="s">
        <v>86</v>
      </c>
      <c r="B27" s="89" t="s">
        <v>87</v>
      </c>
      <c r="C27" s="90"/>
      <c r="D27" s="91"/>
      <c r="E27" s="89"/>
      <c r="F27" s="92"/>
      <c r="G27" s="93">
        <f>workday($C$1,-3)</f>
        <v>46139</v>
      </c>
      <c r="H27" s="94"/>
      <c r="I27" s="95" t="s">
        <v>88</v>
      </c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34.5" customHeight="1">
      <c r="A28" s="96" t="s">
        <v>86</v>
      </c>
      <c r="B28" s="97" t="s">
        <v>89</v>
      </c>
      <c r="C28" s="98" t="s">
        <v>90</v>
      </c>
      <c r="D28" s="99" t="s">
        <v>52</v>
      </c>
      <c r="E28" s="97" t="s">
        <v>53</v>
      </c>
      <c r="F28" s="99" t="s">
        <v>80</v>
      </c>
      <c r="G28" s="100">
        <f>C1</f>
        <v>46142</v>
      </c>
      <c r="H28" s="101"/>
      <c r="I28" s="102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34.5" customHeight="1">
      <c r="A29" s="50" t="s">
        <v>91</v>
      </c>
      <c r="B29" s="51" t="s">
        <v>76</v>
      </c>
      <c r="C29" s="61" t="s">
        <v>92</v>
      </c>
      <c r="D29" s="53" t="s">
        <v>52</v>
      </c>
      <c r="E29" s="51" t="s">
        <v>53</v>
      </c>
      <c r="F29" s="53" t="s">
        <v>80</v>
      </c>
      <c r="G29" s="54">
        <f t="shared" ref="G29:G30" si="9">workday($C$1,1)</f>
        <v>46143</v>
      </c>
      <c r="H29" s="55"/>
      <c r="I29" s="56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34.5" customHeight="1">
      <c r="A30" s="64" t="s">
        <v>91</v>
      </c>
      <c r="B30" s="103" t="s">
        <v>43</v>
      </c>
      <c r="C30" s="104" t="s">
        <v>93</v>
      </c>
      <c r="D30" s="66" t="s">
        <v>52</v>
      </c>
      <c r="E30" s="105" t="s">
        <v>53</v>
      </c>
      <c r="F30" s="81" t="s">
        <v>80</v>
      </c>
      <c r="G30" s="54">
        <f t="shared" si="9"/>
        <v>46143</v>
      </c>
      <c r="H30" s="69"/>
      <c r="I30" s="70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34.5" customHeight="1">
      <c r="A31" s="50" t="s">
        <v>91</v>
      </c>
      <c r="B31" s="51" t="s">
        <v>43</v>
      </c>
      <c r="C31" s="52" t="s">
        <v>94</v>
      </c>
      <c r="D31" s="53" t="s">
        <v>52</v>
      </c>
      <c r="E31" s="60" t="str">
        <f t="shared" ref="E31:E32" si="10">$C$2</f>
        <v>Matt Frost</v>
      </c>
      <c r="F31" s="53" t="s">
        <v>80</v>
      </c>
      <c r="G31" s="54">
        <f t="shared" ref="G31:G32" si="11">workday($C$1,3)</f>
        <v>46147</v>
      </c>
      <c r="H31" s="55"/>
      <c r="I31" s="55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34.5" customHeight="1">
      <c r="A32" s="50" t="s">
        <v>91</v>
      </c>
      <c r="B32" s="51" t="s">
        <v>43</v>
      </c>
      <c r="C32" s="52" t="s">
        <v>95</v>
      </c>
      <c r="D32" s="53" t="s">
        <v>52</v>
      </c>
      <c r="E32" s="60" t="str">
        <f t="shared" si="10"/>
        <v>Matt Frost</v>
      </c>
      <c r="F32" s="53" t="s">
        <v>80</v>
      </c>
      <c r="G32" s="54">
        <f t="shared" si="11"/>
        <v>46147</v>
      </c>
      <c r="H32" s="55"/>
      <c r="I32" s="55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34.5" customHeight="1">
      <c r="A33" s="50"/>
      <c r="B33" s="51"/>
      <c r="C33" s="52"/>
      <c r="D33" s="106"/>
      <c r="E33" s="55"/>
      <c r="F33" s="106"/>
      <c r="G33" s="54"/>
      <c r="H33" s="55"/>
      <c r="I33" s="55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34.5" customHeight="1">
      <c r="A34" s="50"/>
      <c r="B34" s="51"/>
      <c r="C34" s="52"/>
      <c r="D34" s="106"/>
      <c r="E34" s="55"/>
      <c r="F34" s="106"/>
      <c r="G34" s="54"/>
      <c r="H34" s="55"/>
      <c r="I34" s="55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34.5" customHeight="1">
      <c r="A35" s="50"/>
      <c r="B35" s="51"/>
      <c r="C35" s="52"/>
      <c r="D35" s="106"/>
      <c r="E35" s="55"/>
      <c r="F35" s="106"/>
      <c r="G35" s="54"/>
      <c r="H35" s="55"/>
      <c r="I35" s="55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34.5" customHeight="1">
      <c r="A36" s="50"/>
      <c r="B36" s="51"/>
      <c r="C36" s="52"/>
      <c r="D36" s="106"/>
      <c r="E36" s="55"/>
      <c r="F36" s="106"/>
      <c r="G36" s="54"/>
      <c r="H36" s="55"/>
      <c r="I36" s="55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34.5" customHeight="1">
      <c r="A37" s="50"/>
      <c r="B37" s="51"/>
      <c r="C37" s="52"/>
      <c r="D37" s="106"/>
      <c r="E37" s="55"/>
      <c r="F37" s="106"/>
      <c r="G37" s="54"/>
      <c r="H37" s="55"/>
      <c r="I37" s="55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34.5" customHeight="1">
      <c r="A38" s="107"/>
      <c r="B38" s="107"/>
      <c r="C38" s="108"/>
      <c r="D38" s="109"/>
      <c r="E38" s="55"/>
      <c r="F38" s="109"/>
      <c r="G38" s="54"/>
      <c r="H38" s="55"/>
      <c r="I38" s="55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34.5" customHeight="1">
      <c r="A39" s="107"/>
      <c r="B39" s="107"/>
      <c r="C39" s="108"/>
      <c r="D39" s="109"/>
      <c r="E39" s="55"/>
      <c r="F39" s="109"/>
      <c r="G39" s="54"/>
      <c r="H39" s="55"/>
      <c r="I39" s="55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34.5" customHeight="1">
      <c r="A40" s="107"/>
      <c r="B40" s="107"/>
      <c r="C40" s="108"/>
      <c r="D40" s="109"/>
      <c r="E40" s="55"/>
      <c r="F40" s="109"/>
      <c r="G40" s="54"/>
      <c r="H40" s="55"/>
      <c r="I40" s="55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34.5" customHeight="1">
      <c r="A41" s="107"/>
      <c r="B41" s="107"/>
      <c r="C41" s="108"/>
      <c r="D41" s="109"/>
      <c r="E41" s="55"/>
      <c r="F41" s="109"/>
      <c r="G41" s="54"/>
      <c r="H41" s="55"/>
      <c r="I41" s="55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</sheetData>
  <mergeCells count="8">
    <mergeCell ref="A1:B1"/>
    <mergeCell ref="D1:E1"/>
    <mergeCell ref="F1:G1"/>
    <mergeCell ref="A2:B2"/>
    <mergeCell ref="D2:E2"/>
    <mergeCell ref="F2:G2"/>
    <mergeCell ref="D3:E3"/>
    <mergeCell ref="F3:G3"/>
  </mergeCells>
  <dataValidations>
    <dataValidation type="custom" allowBlank="1" showDropDown="1" sqref="G5:G41">
      <formula1>OR(NOT(ISERROR(DATEVALUE(G5))), AND(ISNUMBER(G5), LEFT(CELL("format", G5))="D"))</formula1>
    </dataValidation>
    <dataValidation allowBlank="1" showDropDown="1" sqref="C5:C41 E5:E41 I5:I41"/>
    <dataValidation type="list" allowBlank="1" sqref="D5:D41">
      <formula1>"P0,P1,P2,P3"</formula1>
    </dataValidation>
    <dataValidation type="list" allowBlank="1" sqref="F5:F41">
      <formula1>"Not started,In progress,Blocked,Completed"</formula1>
    </dataValidation>
    <dataValidation type="custom" allowBlank="1" showDropDown="1" sqref="C1">
      <formula1>OR(NOT(ISERROR(DATEVALUE(C1))), AND(ISNUMBER(C1), LEFT(CELL("format", C1))="D"))</formula1>
    </dataValidation>
  </dataValidations>
  <hyperlinks>
    <hyperlink r:id="rId1" ref="F1"/>
    <hyperlink r:id="rId2" ref="I7"/>
    <hyperlink r:id="rId3" ref="I13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78.67"/>
  </cols>
  <sheetData>
    <row r="2">
      <c r="A2" s="110"/>
      <c r="B2" s="111"/>
    </row>
    <row r="3">
      <c r="A3" s="112" t="s">
        <v>96</v>
      </c>
      <c r="B3" s="113" t="s">
        <v>97</v>
      </c>
      <c r="C3" s="112"/>
      <c r="D3" s="112"/>
      <c r="E3" s="114"/>
    </row>
    <row r="4">
      <c r="A4" s="112" t="s">
        <v>98</v>
      </c>
      <c r="B4" s="113" t="s">
        <v>99</v>
      </c>
      <c r="C4" s="112"/>
      <c r="D4" s="112"/>
      <c r="E4" s="114"/>
    </row>
    <row r="5">
      <c r="A5" s="112" t="s">
        <v>100</v>
      </c>
      <c r="B5" s="113" t="s">
        <v>101</v>
      </c>
      <c r="C5" s="112"/>
      <c r="D5" s="112"/>
      <c r="E5" s="114"/>
    </row>
    <row r="6">
      <c r="A6" s="112" t="s">
        <v>102</v>
      </c>
      <c r="B6" s="113" t="s">
        <v>103</v>
      </c>
      <c r="C6" s="112"/>
      <c r="D6" s="112"/>
      <c r="E6" s="114"/>
    </row>
    <row r="7">
      <c r="A7" s="112" t="s">
        <v>104</v>
      </c>
      <c r="B7" s="113" t="s">
        <v>105</v>
      </c>
      <c r="C7" s="112"/>
      <c r="D7" s="112"/>
      <c r="E7" s="114"/>
    </row>
    <row r="8">
      <c r="A8" s="112" t="s">
        <v>106</v>
      </c>
      <c r="B8" s="113" t="s">
        <v>107</v>
      </c>
      <c r="C8" s="112"/>
      <c r="D8" s="112"/>
      <c r="E8" s="114"/>
    </row>
    <row r="9">
      <c r="A9" s="112" t="s">
        <v>108</v>
      </c>
      <c r="B9" s="113" t="s">
        <v>109</v>
      </c>
      <c r="C9" s="112"/>
      <c r="D9" s="112"/>
      <c r="E9" s="114"/>
    </row>
    <row r="10">
      <c r="A10" s="112" t="s">
        <v>110</v>
      </c>
      <c r="B10" s="113" t="s">
        <v>111</v>
      </c>
      <c r="C10" s="112"/>
      <c r="D10" s="112"/>
      <c r="E10" s="114"/>
    </row>
    <row r="11">
      <c r="A11" s="112" t="s">
        <v>112</v>
      </c>
      <c r="B11" s="113" t="s">
        <v>113</v>
      </c>
      <c r="C11" s="112"/>
      <c r="D11" s="112"/>
      <c r="E11" s="114"/>
    </row>
    <row r="12">
      <c r="A12" s="115" t="s">
        <v>114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</hyperlinks>
  <drawing r:id="rId10"/>
</worksheet>
</file>